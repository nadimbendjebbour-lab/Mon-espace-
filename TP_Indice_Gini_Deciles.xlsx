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ice de Gini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<sst xmlns="http://schemas.openxmlformats.org/spreadsheetml/2006/main" count="21" uniqueCount="21">
  <si>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Calcul de l'indice de Gini par la formule des Trapèzes</t>
  </si>
  <si>
    <t xml:space="preserve">  ➜  Saisir les valeurs par déciles dans la partie jaune – Colonne A (revenus moyens par décile, triés croissants).</t>
  </si>
  <si>
    <t xml:space="preserve">  ➜  Saisir le pourcentage conventionnel du seuil de pauvreté (cellule jaune J9 – défaut : 60 %).</t>
  </si>
  <si>
    <t>Valeurs
(revenu moyen)</t>
  </si>
  <si>
    <t>N° Décile</t>
  </si>
  <si>
    <t>Fréquence
(%)</t>
  </si>
  <si>
    <t>Fréquence Cumulée
Croissante (%)</t>
  </si>
  <si>
    <t>Part Cumulée
des Revenus – Lorenz (%)</t>
  </si>
  <si>
    <t>RÉSULTATS AUTOMATIQUES</t>
  </si>
  <si>
    <t>① Revenu Total :</t>
  </si>
  <si>
    <t>② Revenu Moyen :</t>
  </si>
  <si>
    <t>③ Revenu Médian :</t>
  </si>
  <si>
    <t>④ % seuil de pauvreté :</t>
  </si>
  <si>
    <t>%</t>
  </si>
  <si>
    <t>⑤ SEUIL de PAUVRETÉ :</t>
  </si>
  <si>
    <t>⑥ Aire sous la courbe (trapèzes) :</t>
  </si>
  <si>
    <t>⑦ INDICE de GINI :</t>
  </si>
  <si>
    <t>Gini = 0  →  Égalité parfaite
Gini = 1  →  Inégalité maximale
Gini &gt; 0,35  →  Forte inégalité</t>
  </si>
  <si>
    <t>Méthode : un point de la courbe de Lorenz a pour abscisse n/10 (n = numéro de décile, de 0 à 10) et pour ordonnée la part cumulée des revenus correspondante.</t>
  </si>
  <si>
    <t>Formule des trapèzes : Aire ≈ (h/2) × [y₀ + 2y₁ + … + 2y₉ + y₁₀]  avec h = 0,1 ;  y₀ = 0 ;  y₁…y₁₀ = colonne E ;  Gini = 1 − 2 × Aire</t>
  </si>
  <si>
    <t>Réalisé par : Traore</t>
  </si>
</sst>
</file>

<file path=xl/styles.xml><?xml version="1.0" encoding="utf-8"?>
<styleSheet xmlns="http://schemas.openxmlformats.org/spreadsheetml/2006/main">
  <numFmts count="4">
    <numFmt numFmtId="164" formatCode="0.00&quot;%&quot;"/>
    <numFmt numFmtId="165" formatCode="# ##0.00"/>
    <numFmt numFmtId="166" formatCode="0&quot;%&quot;"/>
    <numFmt numFmtId="167" formatCode="0.0000"/>
  </numFmts>
  <fonts count="12">
    <font>
      <sz val="11"/>
      <color theme="1"/>
      <name val="Calibri"/>
      <family val="2"/>
      <scheme val="minor"/>
    </font>
    <font>
      <b/>
      <sz val="13"/>
      <color rgb="FFFFFFFF"/>
      <name val="Aptos Narrow"/>
      <family val="2"/>
    </font>
    <font>
      <i/>
      <sz val="10"/>
      <color theme="1"/>
      <name val="Aptos Narrow"/>
      <family val="2"/>
    </font>
    <font>
      <b/>
      <sz val="10"/>
      <color rgb="FFFFFFFF"/>
      <name val="Aptos Narrow"/>
      <family val="2"/>
    </font>
    <font>
      <sz val="11"/>
      <color theme="1"/>
      <name val="Aptos Narrow"/>
      <family val="2"/>
    </font>
    <font>
      <b/>
      <sz val="12"/>
      <color rgb="FFFFFFFF"/>
      <name val="Aptos Narrow"/>
      <family val="2"/>
    </font>
    <font>
      <b/>
      <sz val="11"/>
      <color theme="1"/>
      <name val="Aptos Narrow"/>
      <family val="2"/>
    </font>
    <font>
      <b/>
      <sz val="12"/>
      <color theme="1"/>
      <name val="Aptos Narrow"/>
      <family val="2"/>
    </font>
    <font>
      <b/>
      <sz val="12"/>
      <color rgb="FFC00000"/>
      <name val="Aptos Narrow"/>
      <family val="2"/>
    </font>
    <font>
      <b/>
      <sz val="14"/>
      <color rgb="FFC00000"/>
      <name val="Aptos Narrow"/>
      <family val="2"/>
    </font>
    <font>
      <i/>
      <sz val="9"/>
      <color theme="1"/>
      <name val="Aptos Narrow"/>
      <family val="2"/>
    </font>
    <font>
      <b/>
      <i/>
      <sz val="11"/>
      <color rgb="FFFFFFFF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F6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4B9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5" fontId="8" fillId="8" borderId="1" xfId="0" applyNumberFormat="1" applyFont="1" applyFill="1" applyBorder="1" applyAlignment="1">
      <alignment horizontal="center" vertical="center"/>
    </xf>
    <xf numFmtId="167" fontId="6" fillId="6" borderId="1" xfId="0" applyNumberFormat="1" applyFont="1" applyFill="1" applyBorder="1" applyAlignment="1">
      <alignment horizontal="center" vertical="center"/>
    </xf>
    <xf numFmtId="167" fontId="9" fillId="8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 wrapText="1"/>
    </xf>
    <xf numFmtId="165" fontId="6" fillId="9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2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Courbe de Concentration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Courbe de Lorenz</c:v>
          </c:tx>
          <c:spPr>
            <a:ln w="28575">
              <a:solidFill>
                <a:srgbClr val="0070C0"/>
              </a:solidFill>
            </a:ln>
          </c:spPr>
          <c:marker>
            <c:symbol val="circle"/>
            <c:size val="4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Ref>
              <c:f>'Indice de Gini'!$D$5:$D$14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'Indice de Gini'!$E$5:$E$14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Égalité parfaite</c:v>
          </c:tx>
          <c:spPr>
            <a:ln w="19050">
              <a:solidFill>
                <a:srgbClr val="FF0000"/>
              </a:solidFill>
              <a:prstDash val="dash"/>
            </a:ln>
          </c:spPr>
          <c:marker>
            <c:symbol val="none"/>
          </c:marker>
          <c:cat>
            <c:numRef>
              <c:f>'Indice de Gini'!$M$5:$M$15</c:f>
              <c:numCache>
                <c:formatCode>General</c:formatCode>
                <c:ptCount val="11"/>
                <c:pt idx="0">
                  <c:v>0</c:v>
                </c:pt>
                <c:pt idx="10">
                  <c:v>100</c:v>
                </c:pt>
              </c:numCache>
            </c:numRef>
          </c:cat>
          <c:val>
            <c:numRef>
              <c:f>'Indice de Gini'!$N$5:$N$15</c:f>
              <c:numCache>
                <c:formatCode>General</c:formatCode>
                <c:ptCount val="11"/>
                <c:pt idx="0">
                  <c:v>0</c:v>
                </c:pt>
                <c:pt idx="10">
                  <c:v>100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Fréquence cumulée de la population (%)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Part cumulée des revenus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47625</xdr:rowOff>
    </xdr:from>
    <xdr:to>
      <xdr:col>10</xdr:col>
      <xdr:colOff>561975</xdr:colOff>
      <xdr:row>28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2" width="10.7109375" customWidth="1"/>
    <col min="3" max="3" width="14.7109375" customWidth="1"/>
    <col min="4" max="4" width="18.7109375" customWidth="1"/>
    <col min="5" max="5" width="22.7109375" customWidth="1"/>
    <col min="6" max="7" width="2.7109375" customWidth="1"/>
    <col min="8" max="9" width="22.7109375" customWidth="1"/>
    <col min="10" max="11" width="14.7109375" customWidth="1"/>
  </cols>
  <sheetData>
    <row r="1" spans="1:14" ht="30" customHeight="1">
      <c r="E1" s="1" t="s">
        <v>0</v>
      </c>
      <c r="F1" s="1"/>
      <c r="G1" s="1"/>
      <c r="H1" s="1"/>
      <c r="I1" s="1"/>
      <c r="J1" s="1"/>
      <c r="K1" s="1"/>
    </row>
    <row r="2" spans="1:14" ht="22" customHeight="1">
      <c r="E2" s="2" t="s">
        <v>1</v>
      </c>
      <c r="F2" s="2"/>
      <c r="G2" s="2"/>
      <c r="H2" s="2"/>
      <c r="I2" s="2"/>
      <c r="J2" s="2"/>
      <c r="K2" s="2"/>
    </row>
    <row r="3" spans="1:14" ht="22" customHeight="1">
      <c r="E3" s="2" t="s">
        <v>2</v>
      </c>
      <c r="F3" s="2"/>
      <c r="G3" s="2"/>
      <c r="H3" s="2"/>
      <c r="I3" s="2"/>
      <c r="J3" s="2"/>
      <c r="K3" s="2"/>
    </row>
    <row r="4" spans="1:14" ht="36" customHeight="1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</row>
    <row r="5" spans="1:14" ht="18" customHeight="1">
      <c r="A5" s="4">
        <v>520</v>
      </c>
      <c r="B5" s="5">
        <v>1</v>
      </c>
      <c r="C5" s="6">
        <v>10</v>
      </c>
      <c r="D5" s="7">
        <f>C5</f>
        <v>0</v>
      </c>
      <c r="E5" s="8">
        <f>SUM($A$5:A5)/SUM($A$5:$A$14)*100</f>
        <v>0</v>
      </c>
      <c r="H5" s="9" t="s">
        <v>8</v>
      </c>
      <c r="I5" s="9"/>
      <c r="J5" s="9"/>
      <c r="K5" s="9"/>
      <c r="M5">
        <v>0</v>
      </c>
      <c r="N5">
        <v>0</v>
      </c>
    </row>
    <row r="6" spans="1:14" ht="18" customHeight="1">
      <c r="A6" s="4">
        <v>870</v>
      </c>
      <c r="B6" s="5">
        <v>2</v>
      </c>
      <c r="C6" s="6">
        <v>10</v>
      </c>
      <c r="D6" s="7">
        <f>D5+C6</f>
        <v>0</v>
      </c>
      <c r="E6" s="8">
        <f>SUM($A$5:A6)/SUM($A$5:$A$14)*100</f>
        <v>0</v>
      </c>
      <c r="H6" s="10" t="s">
        <v>9</v>
      </c>
      <c r="I6" s="10"/>
      <c r="J6" s="11">
        <f>SUM(A5:A14)</f>
        <v>0</v>
      </c>
      <c r="K6" s="11"/>
    </row>
    <row r="7" spans="1:14" ht="18" customHeight="1">
      <c r="A7" s="4">
        <v>1150</v>
      </c>
      <c r="B7" s="5">
        <v>3</v>
      </c>
      <c r="C7" s="6">
        <v>10</v>
      </c>
      <c r="D7" s="7">
        <f>D6+C7</f>
        <v>0</v>
      </c>
      <c r="E7" s="8">
        <f>SUM($A$5:A7)/SUM($A$5:$A$14)*100</f>
        <v>0</v>
      </c>
      <c r="H7" s="10" t="s">
        <v>10</v>
      </c>
      <c r="I7" s="10"/>
      <c r="J7" s="11">
        <f>SUM(A5:A14)/10</f>
        <v>0</v>
      </c>
      <c r="K7" s="11"/>
    </row>
    <row r="8" spans="1:14" ht="18" customHeight="1">
      <c r="A8" s="4">
        <v>1450</v>
      </c>
      <c r="B8" s="5">
        <v>4</v>
      </c>
      <c r="C8" s="6">
        <v>10</v>
      </c>
      <c r="D8" s="7">
        <f>D7+C8</f>
        <v>0</v>
      </c>
      <c r="E8" s="8">
        <f>SUM($A$5:A8)/SUM($A$5:$A$14)*100</f>
        <v>0</v>
      </c>
      <c r="H8" s="10" t="s">
        <v>11</v>
      </c>
      <c r="I8" s="10"/>
      <c r="J8" s="11">
        <f>(A9+A10)/2</f>
        <v>0</v>
      </c>
      <c r="K8" s="11"/>
    </row>
    <row r="9" spans="1:14" ht="18" customHeight="1">
      <c r="A9" s="4">
        <v>1780</v>
      </c>
      <c r="B9" s="5">
        <v>5</v>
      </c>
      <c r="C9" s="6">
        <v>10</v>
      </c>
      <c r="D9" s="7">
        <f>D8+C9</f>
        <v>0</v>
      </c>
      <c r="E9" s="8">
        <f>SUM($A$5:A9)/SUM($A$5:$A$14)*100</f>
        <v>0</v>
      </c>
      <c r="H9" s="10" t="s">
        <v>12</v>
      </c>
      <c r="I9" s="10"/>
      <c r="J9" s="12">
        <v>60</v>
      </c>
      <c r="K9" s="13" t="s">
        <v>13</v>
      </c>
    </row>
    <row r="10" spans="1:14" ht="18" customHeight="1">
      <c r="A10" s="4">
        <v>2200</v>
      </c>
      <c r="B10" s="5">
        <v>6</v>
      </c>
      <c r="C10" s="6">
        <v>10</v>
      </c>
      <c r="D10" s="7">
        <f>D9+C10</f>
        <v>0</v>
      </c>
      <c r="E10" s="8">
        <f>SUM($A$5:A10)/SUM($A$5:$A$14)*100</f>
        <v>0</v>
      </c>
      <c r="H10" s="10" t="s">
        <v>14</v>
      </c>
      <c r="I10" s="10"/>
      <c r="J10" s="14">
        <f>J8*J9/100</f>
        <v>0</v>
      </c>
      <c r="K10" s="14"/>
    </row>
    <row r="11" spans="1:14" ht="8" customHeight="1">
      <c r="A11" s="4">
        <v>2750</v>
      </c>
      <c r="B11" s="5">
        <v>7</v>
      </c>
      <c r="C11" s="6">
        <v>10</v>
      </c>
      <c r="D11" s="7">
        <f>D10+C11</f>
        <v>0</v>
      </c>
      <c r="E11" s="8">
        <f>SUM($A$5:A11)/SUM($A$5:$A$14)*100</f>
        <v>0</v>
      </c>
    </row>
    <row r="12" spans="1:14" ht="18" customHeight="1">
      <c r="A12" s="4">
        <v>3400</v>
      </c>
      <c r="B12" s="5">
        <v>8</v>
      </c>
      <c r="C12" s="6">
        <v>10</v>
      </c>
      <c r="D12" s="7">
        <f>D11+C12</f>
        <v>0</v>
      </c>
      <c r="E12" s="8">
        <f>SUM($A$5:A12)/SUM($A$5:$A$14)*100</f>
        <v>0</v>
      </c>
      <c r="H12" s="10" t="s">
        <v>15</v>
      </c>
      <c r="I12" s="10"/>
      <c r="J12" s="15">
        <f>0.05*(2*SUM(E5:E13)/100+E14/100)</f>
        <v>0</v>
      </c>
      <c r="K12" s="15"/>
    </row>
    <row r="13" spans="1:14" ht="18" customHeight="1">
      <c r="A13" s="4">
        <v>4350</v>
      </c>
      <c r="B13" s="5">
        <v>9</v>
      </c>
      <c r="C13" s="6">
        <v>10</v>
      </c>
      <c r="D13" s="7">
        <f>D12+C13</f>
        <v>0</v>
      </c>
      <c r="E13" s="8">
        <f>SUM($A$5:A13)/SUM($A$5:$A$14)*100</f>
        <v>0</v>
      </c>
      <c r="H13" s="10" t="s">
        <v>16</v>
      </c>
      <c r="I13" s="10"/>
      <c r="J13" s="16">
        <f>1-2*J12</f>
        <v>0</v>
      </c>
      <c r="K13" s="16"/>
    </row>
    <row r="14" spans="1:14" ht="18" customHeight="1">
      <c r="A14" s="4">
        <v>7200</v>
      </c>
      <c r="B14" s="5">
        <v>10</v>
      </c>
      <c r="C14" s="6">
        <v>10</v>
      </c>
      <c r="D14" s="7">
        <f>D13+C14</f>
        <v>0</v>
      </c>
      <c r="E14" s="8">
        <f>SUM($A$5:A14)/SUM($A$5:$A$14)*100</f>
        <v>0</v>
      </c>
      <c r="H14" s="17" t="s">
        <v>17</v>
      </c>
      <c r="I14" s="17"/>
      <c r="J14" s="17"/>
      <c r="K14" s="17"/>
    </row>
    <row r="15" spans="1:14" ht="20" customHeight="1">
      <c r="A15" s="18">
        <f>SUM(A5:A14)</f>
        <v>0</v>
      </c>
      <c r="C15" s="18">
        <f>SUM(C5:C14)</f>
        <v>0</v>
      </c>
      <c r="D15" s="18">
        <f>D14</f>
        <v>0</v>
      </c>
      <c r="E15" s="18">
        <f>E14</f>
        <v>0</v>
      </c>
      <c r="H15" s="17"/>
      <c r="I15" s="17"/>
      <c r="J15" s="17"/>
      <c r="K15" s="17"/>
      <c r="M15">
        <v>100</v>
      </c>
      <c r="N15">
        <v>100</v>
      </c>
    </row>
    <row r="16" spans="1:14" ht="18" customHeight="1"/>
    <row r="17" spans="1:5" ht="28" customHeight="1">
      <c r="A17" s="19" t="s">
        <v>18</v>
      </c>
      <c r="B17" s="19"/>
      <c r="C17" s="19"/>
      <c r="D17" s="19"/>
      <c r="E17" s="19"/>
    </row>
    <row r="18" spans="1:5" ht="28" customHeight="1">
      <c r="A18" s="19" t="s">
        <v>19</v>
      </c>
      <c r="B18" s="19"/>
      <c r="C18" s="19"/>
      <c r="D18" s="19"/>
      <c r="E18" s="19"/>
    </row>
    <row r="19" spans="1:5" ht="18" customHeight="1"/>
    <row r="20" spans="1:5" ht="24" customHeight="1">
      <c r="A20" s="20" t="s">
        <v>20</v>
      </c>
      <c r="B20" s="20"/>
      <c r="C20" s="20"/>
      <c r="D20" s="20"/>
      <c r="E20" s="20"/>
    </row>
  </sheetData>
  <mergeCells count="21">
    <mergeCell ref="E1:K1"/>
    <mergeCell ref="E2:K2"/>
    <mergeCell ref="E3:K3"/>
    <mergeCell ref="H5:K5"/>
    <mergeCell ref="H6:I6"/>
    <mergeCell ref="J6:K6"/>
    <mergeCell ref="H7:I7"/>
    <mergeCell ref="J7:K7"/>
    <mergeCell ref="H8:I8"/>
    <mergeCell ref="J8:K8"/>
    <mergeCell ref="H9:I9"/>
    <mergeCell ref="H10:I10"/>
    <mergeCell ref="J10:K10"/>
    <mergeCell ref="H12:I12"/>
    <mergeCell ref="J12:K12"/>
    <mergeCell ref="H13:I13"/>
    <mergeCell ref="J13:K13"/>
    <mergeCell ref="H14:K15"/>
    <mergeCell ref="A17:E17"/>
    <mergeCell ref="A18:E18"/>
    <mergeCell ref="A20:E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Indice de Gini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2026-03-31T13:35:53Z</dcterms:created>
  <dcterms:modified xsi:type="dcterms:W3CDTF">2026-03-31T13:35:53Z</dcterms:modified>
</cp:coreProperties>
</file>