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 de G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# ##0.00"/>
    <numFmt numFmtId="166" formatCode="0 &quot;%&quot;"/>
    <numFmt numFmtId="167" formatCode="0.0000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000000"/>
      <sz val="10"/>
    </font>
    <font>
      <b val="1"/>
      <color rgb="00FFFFFF"/>
      <sz val="10"/>
    </font>
    <font>
      <color rgb="00000000"/>
      <sz val="11"/>
    </font>
    <font>
      <b val="1"/>
      <color rgb="00000000"/>
      <sz val="11"/>
    </font>
    <font>
      <b val="1"/>
      <color rgb="00FFFFFF"/>
      <sz val="12"/>
    </font>
    <font>
      <b val="1"/>
      <color rgb="00000000"/>
      <sz val="10"/>
    </font>
    <font>
      <b val="1"/>
      <color rgb="00000000"/>
      <sz val="12"/>
    </font>
    <font>
      <b val="1"/>
      <color rgb="00FF0000"/>
      <sz val="12"/>
    </font>
    <font>
      <b val="1"/>
      <color rgb="00C00000"/>
      <sz val="14"/>
    </font>
    <font>
      <i val="1"/>
      <color rgb="00000000"/>
      <sz val="9"/>
    </font>
  </fonts>
  <fills count="12">
    <fill>
      <patternFill/>
    </fill>
    <fill>
      <patternFill patternType="gray125"/>
    </fill>
    <fill>
      <patternFill patternType="solid"/>
    </fill>
    <fill>
      <patternFill patternType="solid">
        <fgColor rgb="0092D050"/>
        <bgColor rgb="0092D050"/>
      </patternFill>
    </fill>
    <fill>
      <patternFill patternType="solid">
        <fgColor rgb="001F3F6D"/>
        <bgColor rgb="001F3F6D"/>
      </patternFill>
    </fill>
    <fill>
      <patternFill patternType="solid">
        <fgColor rgb="00FFFF00"/>
        <bgColor rgb="00FFFF00"/>
      </patternFill>
    </fill>
    <fill>
      <patternFill patternType="solid">
        <fgColor rgb="00BDD7EE"/>
        <bgColor rgb="00BDD7EE"/>
      </patternFill>
    </fill>
    <fill>
      <patternFill patternType="solid">
        <fgColor rgb="00F4B942"/>
        <bgColor rgb="00F4B942"/>
      </patternFill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FFCCCC"/>
        <bgColor rgb="00FFCCCC"/>
      </patternFill>
    </fill>
    <fill>
      <patternFill patternType="solid">
        <fgColor rgb="00C00000"/>
        <bgColor rgb="00C000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165" fontId="5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right" vertical="center"/>
    </xf>
    <xf numFmtId="165" fontId="9" fillId="10" borderId="1" applyAlignment="1" pivotButton="0" quotePrefix="0" xfId="0">
      <alignment horizontal="center" vertical="center"/>
    </xf>
    <xf numFmtId="167" fontId="5" fillId="6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right" vertical="center"/>
    </xf>
    <xf numFmtId="167" fontId="10" fillId="10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wrapText="1"/>
    </xf>
    <xf numFmtId="165" fontId="5" fillId="8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Courbe de Lorenz</a:t>
            </a:r>
          </a:p>
        </rich>
      </tx>
    </title>
    <plotArea>
      <lineChart>
        <grouping val="standard"/>
        <ser>
          <idx val="0"/>
          <order val="0"/>
          <tx>
            <strRef>
              <f>'Indice de Gini'!E4</f>
            </strRef>
          </tx>
          <spPr>
            <a:ln w="20000">
              <a:solidFill>
                <a:srgbClr val="0000B0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'Indice de Gini'!$D$5:$D$14</f>
            </numRef>
          </cat>
          <val>
            <numRef>
              <f>'Indice de Gini'!$E$5:$E$14</f>
            </numRef>
          </val>
        </ser>
        <ser>
          <idx val="1"/>
          <order val="1"/>
          <tx>
            <v>Égalité parfaite</v>
          </tx>
          <spPr>
            <a:ln w="15000">
              <a:solidFill>
                <a:srgbClr val="00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'Indice de Gini'!$M$5:$M$14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Fréquence cumulée de la population (%)</a:t>
                </a:r>
              </a:p>
            </rich>
          </tx>
        </title>
        <numFmt formatCode="0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Part cumulée des revenus (%)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16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8" customWidth="1" min="4" max="4"/>
    <col width="22" customWidth="1" min="5" max="5"/>
    <col width="2" customWidth="1" min="6" max="6"/>
    <col width="2" customWidth="1" min="7" max="7"/>
    <col width="14" customWidth="1" min="8" max="8"/>
    <col width="4" customWidth="1" min="9" max="9"/>
    <col width="18" customWidth="1" min="10" max="10"/>
    <col width="18" customWidth="1" min="11" max="11"/>
    <col width="18" customWidth="1" min="12" max="12"/>
    <col width="14" customWidth="1" min="13" max="13"/>
  </cols>
  <sheetData>
    <row r="1" ht="30" customHeight="1">
      <c r="E1" s="1" t="inlineStr">
        <is>
          <t>Calcul de l'indice de Gini par la formule des Trapèzes</t>
        </is>
      </c>
    </row>
    <row r="2" ht="22" customHeight="1">
      <c r="E2" s="2" t="inlineStr">
        <is>
          <t xml:space="preserve">  ➜  Saisir les valeurs par déciles dans la partie jaune – Colonne A (revenus moyens par décile, triés croissants).</t>
        </is>
      </c>
    </row>
    <row r="3" ht="22" customHeight="1">
      <c r="E3" s="2" t="inlineStr">
        <is>
          <t xml:space="preserve">  ➜  Saisir le pourcentage conventionnel du seuil de pauvreté (cellule jaune J27 – défaut : 60 %).</t>
        </is>
      </c>
    </row>
    <row r="4" ht="36" customHeight="1">
      <c r="A4" s="3" t="inlineStr">
        <is>
          <t>Valeurs
(revenu moyen)</t>
        </is>
      </c>
      <c r="B4" s="3" t="inlineStr">
        <is>
          <t>N° Décile</t>
        </is>
      </c>
      <c r="C4" s="3" t="inlineStr">
        <is>
          <t>Fréquence
(%)</t>
        </is>
      </c>
      <c r="D4" s="3" t="inlineStr">
        <is>
          <t>Fréquence Cumulée
Croissante (%)</t>
        </is>
      </c>
      <c r="E4" s="3" t="inlineStr">
        <is>
          <t>Part Cumulée
des Revenus – Lorenz (%)</t>
        </is>
      </c>
    </row>
    <row r="5" ht="18" customHeight="1">
      <c r="A5" s="4" t="n">
        <v>520</v>
      </c>
      <c r="B5" s="5" t="n">
        <v>1</v>
      </c>
      <c r="C5" s="6" t="n">
        <v>10</v>
      </c>
      <c r="D5" s="7">
        <f>C5</f>
        <v/>
      </c>
      <c r="E5" s="8">
        <f>SUM($A$5:A5)/SUM($A$5:$A$14)*100</f>
        <v/>
      </c>
      <c r="H5" s="9" t="inlineStr">
        <is>
          <t>RÉSULTATS AUTOMATIQUES</t>
        </is>
      </c>
      <c r="M5" t="n">
        <v>10</v>
      </c>
    </row>
    <row r="6" ht="18" customHeight="1">
      <c r="A6" s="4" t="n">
        <v>870</v>
      </c>
      <c r="B6" s="5" t="n">
        <v>2</v>
      </c>
      <c r="C6" s="6" t="n">
        <v>10</v>
      </c>
      <c r="D6" s="7">
        <f>D5+C6</f>
        <v/>
      </c>
      <c r="E6" s="8">
        <f>SUM($A$5:A6)/SUM($A$5:$A$14)*100</f>
        <v/>
      </c>
      <c r="H6" s="10" t="inlineStr">
        <is>
          <t>① Revenu Total :</t>
        </is>
      </c>
      <c r="I6" s="11" t="n"/>
      <c r="J6" s="12">
        <f>SUM(A5:A14)</f>
        <v/>
      </c>
      <c r="K6" s="11" t="n"/>
      <c r="M6" t="n">
        <v>20</v>
      </c>
    </row>
    <row r="7" ht="18" customHeight="1">
      <c r="A7" s="4" t="n">
        <v>1150</v>
      </c>
      <c r="B7" s="5" t="n">
        <v>3</v>
      </c>
      <c r="C7" s="6" t="n">
        <v>10</v>
      </c>
      <c r="D7" s="7">
        <f>D6+C7</f>
        <v/>
      </c>
      <c r="E7" s="8">
        <f>SUM($A$5:A7)/SUM($A$5:$A$14)*100</f>
        <v/>
      </c>
      <c r="H7" s="10" t="inlineStr">
        <is>
          <t>② Revenu Moyen :</t>
        </is>
      </c>
      <c r="I7" s="11" t="n"/>
      <c r="J7" s="12">
        <f>SUM(A5:A14)/10</f>
        <v/>
      </c>
      <c r="K7" s="11" t="n"/>
      <c r="M7" t="n">
        <v>30</v>
      </c>
    </row>
    <row r="8" ht="18" customHeight="1">
      <c r="A8" s="4" t="n">
        <v>1450</v>
      </c>
      <c r="B8" s="5" t="n">
        <v>4</v>
      </c>
      <c r="C8" s="6" t="n">
        <v>10</v>
      </c>
      <c r="D8" s="7">
        <f>D7+C8</f>
        <v/>
      </c>
      <c r="E8" s="8">
        <f>SUM($A$5:A8)/SUM($A$5:$A$14)*100</f>
        <v/>
      </c>
      <c r="H8" s="13" t="inlineStr">
        <is>
          <t>③ Revenu Médian (interpolé) :</t>
        </is>
      </c>
      <c r="I8" s="11" t="n"/>
      <c r="J8" s="12">
        <f>(A9+A10)/2</f>
        <v/>
      </c>
      <c r="K8" s="11" t="n"/>
      <c r="M8" t="n">
        <v>40</v>
      </c>
    </row>
    <row r="9" ht="18" customHeight="1">
      <c r="A9" s="4" t="n">
        <v>1780</v>
      </c>
      <c r="B9" s="5" t="n">
        <v>5</v>
      </c>
      <c r="C9" s="6" t="n">
        <v>10</v>
      </c>
      <c r="D9" s="7">
        <f>D8+C9</f>
        <v/>
      </c>
      <c r="E9" s="8">
        <f>SUM($A$5:A9)/SUM($A$5:$A$14)*100</f>
        <v/>
      </c>
      <c r="H9" s="13" t="inlineStr">
        <is>
          <t>④ % conventionnel du seuil de pauvreté :</t>
        </is>
      </c>
      <c r="I9" s="11" t="n"/>
      <c r="J9" s="14" t="n">
        <v>60</v>
      </c>
      <c r="K9" s="15" t="inlineStr">
        <is>
          <t>%</t>
        </is>
      </c>
      <c r="M9" t="n">
        <v>50</v>
      </c>
    </row>
    <row r="10" ht="18" customHeight="1">
      <c r="A10" s="4" t="n">
        <v>2200</v>
      </c>
      <c r="B10" s="5" t="n">
        <v>6</v>
      </c>
      <c r="C10" s="6" t="n">
        <v>10</v>
      </c>
      <c r="D10" s="7">
        <f>D9+C10</f>
        <v/>
      </c>
      <c r="E10" s="8">
        <f>SUM($A$5:A10)/SUM($A$5:$A$14)*100</f>
        <v/>
      </c>
      <c r="H10" s="16" t="inlineStr">
        <is>
          <t>⑤ SEUIL de PAUVRETÉ :</t>
        </is>
      </c>
      <c r="I10" s="11" t="n"/>
      <c r="J10" s="17">
        <f>J8*J9/100</f>
        <v/>
      </c>
      <c r="K10" s="11" t="n"/>
      <c r="M10" t="n">
        <v>60</v>
      </c>
    </row>
    <row r="11" ht="8" customHeight="1">
      <c r="A11" s="4" t="n">
        <v>2750</v>
      </c>
      <c r="B11" s="5" t="n">
        <v>7</v>
      </c>
      <c r="C11" s="6" t="n">
        <v>10</v>
      </c>
      <c r="D11" s="7">
        <f>D10+C11</f>
        <v/>
      </c>
      <c r="E11" s="8">
        <f>SUM($A$5:A11)/SUM($A$5:$A$14)*100</f>
        <v/>
      </c>
      <c r="M11" t="n">
        <v>70</v>
      </c>
    </row>
    <row r="12" ht="18" customHeight="1">
      <c r="A12" s="4" t="n">
        <v>3400</v>
      </c>
      <c r="B12" s="5" t="n">
        <v>8</v>
      </c>
      <c r="C12" s="6" t="n">
        <v>10</v>
      </c>
      <c r="D12" s="7">
        <f>D11+C12</f>
        <v/>
      </c>
      <c r="E12" s="8">
        <f>SUM($A$5:A12)/SUM($A$5:$A$14)*100</f>
        <v/>
      </c>
      <c r="H12" s="10" t="inlineStr">
        <is>
          <t>⑥ Aire sous la courbe (trapèzes) :</t>
        </is>
      </c>
      <c r="I12" s="11" t="n"/>
      <c r="J12" s="18">
        <f>0.05*(2*SUM(E5:E13)/100+E14/100)</f>
        <v/>
      </c>
      <c r="K12" s="11" t="n"/>
      <c r="M12" t="n">
        <v>80</v>
      </c>
    </row>
    <row r="13" ht="22" customHeight="1">
      <c r="A13" s="4" t="n">
        <v>4350</v>
      </c>
      <c r="B13" s="5" t="n">
        <v>9</v>
      </c>
      <c r="C13" s="6" t="n">
        <v>10</v>
      </c>
      <c r="D13" s="7">
        <f>D12+C13</f>
        <v/>
      </c>
      <c r="E13" s="8">
        <f>SUM($A$5:A13)/SUM($A$5:$A$14)*100</f>
        <v/>
      </c>
      <c r="H13" s="19" t="inlineStr">
        <is>
          <t>⑦ INDICE de GINI :</t>
        </is>
      </c>
      <c r="I13" s="11" t="n"/>
      <c r="J13" s="20">
        <f>1-2*J12</f>
        <v/>
      </c>
      <c r="K13" s="11" t="n"/>
      <c r="M13" t="n">
        <v>90</v>
      </c>
    </row>
    <row r="14" ht="18" customHeight="1">
      <c r="A14" s="4" t="n">
        <v>7200</v>
      </c>
      <c r="B14" s="5" t="n">
        <v>10</v>
      </c>
      <c r="C14" s="6" t="n">
        <v>10</v>
      </c>
      <c r="D14" s="7">
        <f>D13+C14</f>
        <v/>
      </c>
      <c r="E14" s="8">
        <f>SUM($A$5:A14)/SUM($A$5:$A$14)*100</f>
        <v/>
      </c>
      <c r="H14" s="21" t="inlineStr">
        <is>
          <t>Gini = 0 → Égalité parfaite
Gini = 1 → Inégalité maximale
Gini &gt; 0,35 → Forte inégalité</t>
        </is>
      </c>
      <c r="M14" t="n">
        <v>100</v>
      </c>
    </row>
    <row r="15" ht="20" customHeight="1">
      <c r="A15" s="22">
        <f>SUM(A5:A14)</f>
        <v/>
      </c>
      <c r="C15" s="22">
        <f>SUM(C5:C14)</f>
        <v/>
      </c>
      <c r="D15" s="22">
        <f>D14</f>
        <v/>
      </c>
      <c r="E15" s="22">
        <f>E14</f>
        <v/>
      </c>
    </row>
    <row r="16" ht="18" customHeight="1"/>
    <row r="17" ht="28" customHeight="1">
      <c r="A17" s="23" t="inlineStr">
        <is>
          <t>Méthode : un point de la courbe de Lorenz a pour abscisse n/10 (n = numéro de décile, de 0 à 10) et pour ordonnée la part cumulée des revenus correspondante.</t>
        </is>
      </c>
    </row>
    <row r="18" ht="28" customHeight="1">
      <c r="A18" s="23" t="inlineStr">
        <is>
          <t>Formule des trapèzes : Aire ≈ (h/2) × [y₀ + 2y₁ + … + 2y₉ + y₁₀]  avec h = 0,1 ;  y₀ = 0 ;  y₁…y₁₀ = colonne E (Lorenz) ;  Gini = 1 − 2 × Aire</t>
        </is>
      </c>
    </row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20">
    <mergeCell ref="E1:M1"/>
    <mergeCell ref="H10:I10"/>
    <mergeCell ref="J10:K10"/>
    <mergeCell ref="J13:K13"/>
    <mergeCell ref="H9:I9"/>
    <mergeCell ref="H5:K5"/>
    <mergeCell ref="E2:M2"/>
    <mergeCell ref="H6:I6"/>
    <mergeCell ref="J6:K6"/>
    <mergeCell ref="A18:E18"/>
    <mergeCell ref="H7:I7"/>
    <mergeCell ref="J7:K7"/>
    <mergeCell ref="E3:M3"/>
    <mergeCell ref="H13:I13"/>
    <mergeCell ref="A17:E17"/>
    <mergeCell ref="H12:I12"/>
    <mergeCell ref="H14:K15"/>
    <mergeCell ref="J12:K12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2026-03-30T10:54:01Z</dcterms:created>
  <dcterms:modified xsi:type="dcterms:W3CDTF">2026-03-30T10:54:01Z</dcterms:modified>
</cp:coreProperties>
</file>